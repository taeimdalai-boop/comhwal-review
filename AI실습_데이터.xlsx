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예시데이터_가계부" sheetId="2" state="visible" r:id="rId2"/>
    <sheet name="예시데이터_스터디회원" sheetId="3" state="visible" r:id="rId3"/>
    <sheet name="AI비교_평가표" sheetId="4" state="visible" r:id="rId4"/>
    <sheet name="PPT구성안_예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15">
    <font>
      <name val="Calibri"/>
      <family val="2"/>
      <color theme="1"/>
      <sz val="11"/>
      <scheme val="minor"/>
    </font>
    <font>
      <name val="맑은 고딕"/>
      <b val="1"/>
      <color rgb="001D6FE8"/>
      <sz val="16"/>
    </font>
    <font>
      <name val="맑은 고딕"/>
      <color rgb="005A6A7E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b val="1"/>
      <color rgb="001D6FE8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C0392B"/>
      <sz val="11"/>
    </font>
    <font>
      <name val="맑은 고딕"/>
      <b val="1"/>
      <color rgb="001D6FE8"/>
      <sz val="14"/>
    </font>
    <font>
      <name val="맑은 고딕"/>
      <color rgb="00C0392B"/>
      <sz val="10"/>
    </font>
    <font>
      <name val="맑은 고딕"/>
      <b val="1"/>
      <color rgb="001D6FE8"/>
      <sz val="12"/>
    </font>
    <font>
      <name val="맑은 고딕"/>
      <color rgb="005A6A7E"/>
      <sz val="9"/>
    </font>
    <font>
      <name val="맑은 고딕"/>
      <b val="1"/>
      <color rgb="00000000"/>
      <sz val="11"/>
    </font>
    <font>
      <name val="맑은 고딕"/>
      <b val="1"/>
      <color rgb="001D6FE8"/>
      <sz val="11"/>
    </font>
  </fonts>
  <fills count="7">
    <fill>
      <patternFill/>
    </fill>
    <fill>
      <patternFill patternType="gray125"/>
    </fill>
    <fill>
      <patternFill patternType="solid">
        <fgColor rgb="001D6FE8"/>
      </patternFill>
    </fill>
    <fill>
      <patternFill patternType="solid">
        <fgColor rgb="00FFF2CC"/>
      </patternFill>
    </fill>
    <fill>
      <patternFill patternType="solid">
        <fgColor rgb="00F1F3F5"/>
      </patternFill>
    </fill>
    <fill>
      <patternFill patternType="solid">
        <fgColor rgb="00FEF0EF"/>
      </patternFill>
    </fill>
    <fill>
      <patternFill patternType="solid">
        <fgColor rgb="00EBF2FF"/>
      </patternFill>
    </fill>
  </fills>
  <borders count="13">
    <border>
      <left/>
      <right/>
      <top/>
      <bottom/>
      <diagonal/>
    </border>
    <border>
      <left style="thin">
        <color rgb="00D1D9E0"/>
      </left>
      <right style="thin">
        <color rgb="00D1D9E0"/>
      </right>
      <top style="thin">
        <color rgb="00D1D9E0"/>
      </top>
      <bottom style="thin">
        <color rgb="00D1D9E0"/>
      </bottom>
    </border>
    <border>
      <left/>
      <right/>
      <top style="thin">
        <color rgb="00D1D9E0"/>
      </top>
      <bottom/>
      <diagonal/>
    </border>
    <border>
      <left/>
      <right style="thin">
        <color rgb="00D1D9E0"/>
      </right>
      <top style="thin">
        <color rgb="00D1D9E0"/>
      </top>
      <bottom/>
      <diagonal/>
    </border>
    <border>
      <left/>
      <right/>
      <top style="thin">
        <color rgb="00D1D9E0"/>
      </top>
      <bottom style="thin">
        <color rgb="00D1D9E0"/>
      </bottom>
      <diagonal/>
    </border>
    <border>
      <left/>
      <right style="thin">
        <color rgb="00D1D9E0"/>
      </right>
      <top style="thin">
        <color rgb="00D1D9E0"/>
      </top>
      <bottom style="thin">
        <color rgb="00D1D9E0"/>
      </bottom>
      <diagonal/>
    </border>
    <border>
      <left style="thin">
        <color rgb="00D1D9E0"/>
      </left>
      <right/>
      <top/>
      <bottom/>
      <diagonal/>
    </border>
    <border>
      <left/>
      <right style="thin">
        <color rgb="00D1D9E0"/>
      </right>
      <top/>
      <bottom/>
      <diagonal/>
    </border>
    <border>
      <left style="thin">
        <color rgb="00D1D9E0"/>
      </left>
      <right/>
      <top/>
      <bottom style="thin">
        <color rgb="00D1D9E0"/>
      </bottom>
      <diagonal/>
    </border>
    <border>
      <left/>
      <right/>
      <top/>
      <bottom style="thin">
        <color rgb="00D1D9E0"/>
      </bottom>
      <diagonal/>
    </border>
    <border>
      <left/>
      <right style="thin">
        <color rgb="00D1D9E0"/>
      </right>
      <top/>
      <bottom style="thin">
        <color rgb="00D1D9E0"/>
      </bottom>
      <diagonal/>
    </border>
    <border>
      <left style="thin">
        <color rgb="00D1D9E0"/>
      </left>
      <right style="thin">
        <color rgb="00D1D9E0"/>
      </right>
      <top/>
      <bottom/>
      <diagonal/>
    </border>
    <border>
      <left style="thin">
        <color rgb="00D1D9E0"/>
      </left>
      <right style="thin">
        <color rgb="00D1D9E0"/>
      </right>
      <top/>
      <bottom style="thin">
        <color rgb="00D1D9E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  <xf numFmtId="0" fontId="6" fillId="0" borderId="1" applyAlignment="1" pivotButton="0" quotePrefix="0" xfId="0">
      <alignment horizontal="center" vertical="center"/>
    </xf>
    <xf numFmtId="164" fontId="6" fillId="0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7" fillId="6" borderId="1" applyAlignment="1" pivotButton="0" quotePrefix="0" xfId="0">
      <alignment horizontal="center" vertical="center"/>
    </xf>
    <xf numFmtId="164" fontId="7" fillId="6" borderId="1" pivotButton="0" quotePrefix="0" xfId="0"/>
    <xf numFmtId="165" fontId="7" fillId="6" borderId="1" pivotButton="0" quotePrefix="0" xfId="0"/>
    <xf numFmtId="0" fontId="10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1" fillId="0" borderId="0" pivotButton="0" quotePrefix="0" xfId="0"/>
    <xf numFmtId="0" fontId="6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13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6" borderId="1" pivotButton="0" quotePrefix="0" xfId="0"/>
    <xf numFmtId="0" fontId="7" fillId="6" borderId="1" applyAlignment="1" pivotButton="0" quotePrefix="0" xfId="0">
      <alignment horizontal="right" vertical="center"/>
    </xf>
    <xf numFmtId="1" fontId="7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0" fillId="4" borderId="1" pivotButton="0" quotePrefix="0" xfId="0"/>
    <xf numFmtId="0" fontId="13" fillId="4" borderId="1" applyAlignment="1" pivotButton="0" quotePrefix="0" xfId="0">
      <alignment horizontal="right" vertical="center"/>
    </xf>
    <xf numFmtId="1" fontId="1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62" customWidth="1" min="4" max="4"/>
  </cols>
  <sheetData>
    <row r="2">
      <c r="B2" s="1" t="inlineStr">
        <is>
          <t>🤖 생성형 AI 3사 비교 강의 — 실습 데이터</t>
        </is>
      </c>
    </row>
    <row r="3">
      <c r="B3" s="2" t="inlineStr">
        <is>
          <t>2026년 8월 3일 · 일반인 대상 AI 활용 교육</t>
        </is>
      </c>
    </row>
    <row r="5">
      <c r="B5" s="3" t="inlineStr">
        <is>
          <t>📄 시트 안내</t>
        </is>
      </c>
    </row>
    <row r="6">
      <c r="B6" s="4" t="inlineStr">
        <is>
          <t>시트 이름</t>
        </is>
      </c>
      <c r="C6" s="4" t="inlineStr">
        <is>
          <t>어떤 실습에 쓰나요</t>
        </is>
      </c>
      <c r="D6" s="4" t="inlineStr">
        <is>
          <t>무엇이 들어 있나요</t>
        </is>
      </c>
    </row>
    <row r="7" ht="62" customHeight="1">
      <c r="B7" s="5" t="inlineStr">
        <is>
          <t>예시데이터_가계부</t>
        </is>
      </c>
      <c r="C7" s="6" t="inlineStr">
        <is>
          <t>실습 1 (HTML 분석 보고서)
실습 2 (PPT 구성안)</t>
        </is>
      </c>
      <c r="D7" s="6" t="inlineStr">
        <is>
          <t>12개월치 가계부입니다. 수입·지출을 8개 항목으로 나눠 정리했습니다.
표 전체를 복사해서 AI에게 붙여넣고 분석을 시켜보세요.
※ 일부러 '눈에 띄는 달'을 섞어 두었습니다. AI가 찾아내는지 보세요.</t>
        </is>
      </c>
    </row>
    <row r="8" ht="62" customHeight="1">
      <c r="B8" s="5" t="inlineStr">
        <is>
          <t>예시데이터_스터디회원</t>
        </is>
      </c>
      <c r="C8" s="6" t="inlineStr">
        <is>
          <t>VLOOKUP 실습
IF 함수 실습</t>
        </is>
      </c>
      <c r="D8" s="6" t="inlineStr">
        <is>
          <t>스터디 모임 회원 20명의 명단과 중간평가 점수입니다.
· VLOOKUP — 회원번호로 이름·연락처 찾기
· IF — 점수를 우수/보통/노력필요 등급으로 나누기</t>
        </is>
      </c>
    </row>
    <row r="9" ht="62" customHeight="1">
      <c r="B9" s="5" t="inlineStr">
        <is>
          <t>AI비교_평가표</t>
        </is>
      </c>
      <c r="C9" s="6" t="inlineStr">
        <is>
          <t>실습 1~4 전체</t>
        </is>
      </c>
      <c r="D9" s="6" t="inlineStr">
        <is>
          <t>실습마다 ChatGPT·Claude·Gemini에 점수를 매기는 표입니다.
노란색 칸에만 점수를 넣으면 소계·총점·1위가 자동 계산됩니다.</t>
        </is>
      </c>
    </row>
    <row r="10" ht="62" customHeight="1">
      <c r="B10" s="5" t="inlineStr">
        <is>
          <t>PPT구성안_예시</t>
        </is>
      </c>
      <c r="C10" s="6" t="inlineStr">
        <is>
          <t>실습 2 (PPT 구성안)</t>
        </is>
      </c>
      <c r="D10" s="6" t="inlineStr">
        <is>
          <t>사람이 직접 만든 PPT 구성안 예시입니다.
AI가 만들어 준 구성안과 비교해 보세요. 정답은 아니고 참고용입니다.</t>
        </is>
      </c>
    </row>
    <row r="12">
      <c r="B12" s="3" t="inlineStr">
        <is>
          <t>🎨 색깔 규칙</t>
        </is>
      </c>
    </row>
    <row r="13">
      <c r="B13" s="7" t="inlineStr">
        <is>
          <t>노란색 칸</t>
        </is>
      </c>
      <c r="C13" s="8" t="inlineStr">
        <is>
          <t>여러분이 직접 입력하는 칸입니다. 여기만 채우면 됩니다.</t>
        </is>
      </c>
    </row>
    <row r="14">
      <c r="B14" s="9" t="inlineStr">
        <is>
          <t>흰색 칸</t>
        </is>
      </c>
      <c r="C14" s="8" t="inlineStr">
        <is>
          <t>예시 데이터입니다. 그대로 두고 복사해서 쓰세요.</t>
        </is>
      </c>
    </row>
    <row r="15">
      <c r="B15" s="10" t="inlineStr">
        <is>
          <t>회색 칸</t>
        </is>
      </c>
      <c r="C15" s="8" t="inlineStr">
        <is>
          <t>자동으로 계산되는 칸입니다. 건드리지 마세요.</t>
        </is>
      </c>
    </row>
    <row r="17">
      <c r="B17" s="11" t="inlineStr">
        <is>
          <t>💡 참고</t>
        </is>
      </c>
    </row>
    <row r="18" ht="46" customHeight="1">
      <c r="B18" s="12" t="inlineStr">
        <is>
          <t>이 파일의 데이터는 실습용으로 만들어낸 가상의 데이터입니다. 실제 인물·모임과 관계없습니다.
여기 있는 예시 대신 여러분이 직접 만든 표(가계부, 모임 회비, 가게 매출 등)를 써도 좋습니다. 오히려 내 데이터로 해볼 때 AI의 진짜 실력이 보입니다.</t>
        </is>
      </c>
      <c r="C18" s="13" t="n"/>
      <c r="D18" s="14" t="n"/>
    </row>
  </sheetData>
  <mergeCells count="4">
    <mergeCell ref="B18:D18"/>
    <mergeCell ref="C15:D15"/>
    <mergeCell ref="C14:D14"/>
    <mergeCell ref="C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1" customWidth="1" min="5" max="5"/>
    <col width="14" customWidth="1" min="6" max="6"/>
    <col width="12" customWidth="1" min="7" max="7"/>
    <col width="12" customWidth="1" min="8" max="8"/>
    <col width="11" customWidth="1" min="9" max="9"/>
    <col width="11" customWidth="1" min="10" max="10"/>
    <col width="14" customWidth="1" min="11" max="11"/>
    <col width="13" customWidth="1" min="12" max="12"/>
    <col width="10" customWidth="1" min="13" max="13"/>
  </cols>
  <sheetData>
    <row r="1">
      <c r="A1" s="15" t="inlineStr">
        <is>
          <t>🏠 우리집 가계부 (12개월)</t>
        </is>
      </c>
    </row>
    <row r="2">
      <c r="A2" s="2" t="inlineStr">
        <is>
          <t>표 전체(A3:M15)를 복사해서 AI에게 붙여넣으세요. 단위: 원</t>
        </is>
      </c>
    </row>
    <row r="3">
      <c r="A3" s="4" t="inlineStr">
        <is>
          <t>월</t>
        </is>
      </c>
      <c r="B3" s="4" t="inlineStr">
        <is>
          <t>수입</t>
        </is>
      </c>
      <c r="C3" s="4" t="inlineStr">
        <is>
          <t>식비</t>
        </is>
      </c>
      <c r="D3" s="4" t="inlineStr">
        <is>
          <t>교통비</t>
        </is>
      </c>
      <c r="E3" s="4" t="inlineStr">
        <is>
          <t>통신비</t>
        </is>
      </c>
      <c r="F3" s="4" t="inlineStr">
        <is>
          <t>주거·공과금</t>
        </is>
      </c>
      <c r="G3" s="4" t="inlineStr">
        <is>
          <t>문화·여가</t>
        </is>
      </c>
      <c r="H3" s="4" t="inlineStr">
        <is>
          <t>의료</t>
        </is>
      </c>
      <c r="I3" s="4" t="inlineStr">
        <is>
          <t>교육</t>
        </is>
      </c>
      <c r="J3" s="4" t="inlineStr">
        <is>
          <t>기타</t>
        </is>
      </c>
      <c r="K3" s="4" t="inlineStr">
        <is>
          <t>지출합계</t>
        </is>
      </c>
      <c r="L3" s="4" t="inlineStr">
        <is>
          <t>저축액</t>
        </is>
      </c>
      <c r="M3" s="4" t="inlineStr">
        <is>
          <t>저축률</t>
        </is>
      </c>
    </row>
    <row r="4">
      <c r="A4" s="16" t="inlineStr">
        <is>
          <t>2025-08</t>
        </is>
      </c>
      <c r="B4" s="17" t="n">
        <v>3200000</v>
      </c>
      <c r="C4" s="17" t="n">
        <v>742000</v>
      </c>
      <c r="D4" s="17" t="n">
        <v>158000</v>
      </c>
      <c r="E4" s="17" t="n">
        <v>88000</v>
      </c>
      <c r="F4" s="17" t="n">
        <v>512000</v>
      </c>
      <c r="G4" s="17" t="n">
        <v>310000</v>
      </c>
      <c r="H4" s="17" t="n">
        <v>42000</v>
      </c>
      <c r="I4" s="17" t="n">
        <v>200000</v>
      </c>
      <c r="J4" s="17" t="n">
        <v>165000</v>
      </c>
      <c r="K4" s="18">
        <f>SUM(C4:J4)</f>
        <v/>
      </c>
      <c r="L4" s="18">
        <f>B4-K4</f>
        <v/>
      </c>
      <c r="M4" s="19">
        <f>IF(B4=0,0,L4/B4)</f>
        <v/>
      </c>
    </row>
    <row r="5">
      <c r="A5" s="16" t="inlineStr">
        <is>
          <t>2025-09</t>
        </is>
      </c>
      <c r="B5" s="17" t="n">
        <v>3200000</v>
      </c>
      <c r="C5" s="17" t="n">
        <v>681000</v>
      </c>
      <c r="D5" s="17" t="n">
        <v>142000</v>
      </c>
      <c r="E5" s="17" t="n">
        <v>88000</v>
      </c>
      <c r="F5" s="17" t="n">
        <v>468000</v>
      </c>
      <c r="G5" s="17" t="n">
        <v>120000</v>
      </c>
      <c r="H5" s="17" t="n">
        <v>35000</v>
      </c>
      <c r="I5" s="17" t="n">
        <v>200000</v>
      </c>
      <c r="J5" s="17" t="n">
        <v>198000</v>
      </c>
      <c r="K5" s="18">
        <f>SUM(C5:J5)</f>
        <v/>
      </c>
      <c r="L5" s="18">
        <f>B5-K5</f>
        <v/>
      </c>
      <c r="M5" s="19">
        <f>IF(B5=0,0,L5/B5)</f>
        <v/>
      </c>
    </row>
    <row r="6">
      <c r="A6" s="16" t="inlineStr">
        <is>
          <t>2025-10</t>
        </is>
      </c>
      <c r="B6" s="17" t="n">
        <v>3200000</v>
      </c>
      <c r="C6" s="17" t="n">
        <v>705000</v>
      </c>
      <c r="D6" s="17" t="n">
        <v>151000</v>
      </c>
      <c r="E6" s="17" t="n">
        <v>88000</v>
      </c>
      <c r="F6" s="17" t="n">
        <v>455000</v>
      </c>
      <c r="G6" s="17" t="n">
        <v>165000</v>
      </c>
      <c r="H6" s="17" t="n">
        <v>28000</v>
      </c>
      <c r="I6" s="17" t="n">
        <v>200000</v>
      </c>
      <c r="J6" s="17" t="n">
        <v>132000</v>
      </c>
      <c r="K6" s="18">
        <f>SUM(C6:J6)</f>
        <v/>
      </c>
      <c r="L6" s="18">
        <f>B6-K6</f>
        <v/>
      </c>
      <c r="M6" s="19">
        <f>IF(B6=0,0,L6/B6)</f>
        <v/>
      </c>
    </row>
    <row r="7">
      <c r="A7" s="16" t="inlineStr">
        <is>
          <t>2025-11</t>
        </is>
      </c>
      <c r="B7" s="17" t="n">
        <v>3200000</v>
      </c>
      <c r="C7" s="17" t="n">
        <v>668000</v>
      </c>
      <c r="D7" s="17" t="n">
        <v>138000</v>
      </c>
      <c r="E7" s="17" t="n">
        <v>88000</v>
      </c>
      <c r="F7" s="17" t="n">
        <v>521000</v>
      </c>
      <c r="G7" s="17" t="n">
        <v>98000</v>
      </c>
      <c r="H7" s="17" t="n">
        <v>61000</v>
      </c>
      <c r="I7" s="17" t="n">
        <v>200000</v>
      </c>
      <c r="J7" s="17" t="n">
        <v>145000</v>
      </c>
      <c r="K7" s="18">
        <f>SUM(C7:J7)</f>
        <v/>
      </c>
      <c r="L7" s="18">
        <f>B7-K7</f>
        <v/>
      </c>
      <c r="M7" s="19">
        <f>IF(B7=0,0,L7/B7)</f>
        <v/>
      </c>
    </row>
    <row r="8">
      <c r="A8" s="16" t="inlineStr">
        <is>
          <t>2025-12</t>
        </is>
      </c>
      <c r="B8" s="17" t="n">
        <v>5000000</v>
      </c>
      <c r="C8" s="17" t="n">
        <v>823000</v>
      </c>
      <c r="D8" s="17" t="n">
        <v>162000</v>
      </c>
      <c r="E8" s="17" t="n">
        <v>88000</v>
      </c>
      <c r="F8" s="17" t="n">
        <v>604000</v>
      </c>
      <c r="G8" s="17" t="n">
        <v>385000</v>
      </c>
      <c r="H8" s="17" t="n">
        <v>45000</v>
      </c>
      <c r="I8" s="17" t="n">
        <v>200000</v>
      </c>
      <c r="J8" s="17" t="n">
        <v>312000</v>
      </c>
      <c r="K8" s="18">
        <f>SUM(C8:J8)</f>
        <v/>
      </c>
      <c r="L8" s="18">
        <f>B8-K8</f>
        <v/>
      </c>
      <c r="M8" s="19">
        <f>IF(B8=0,0,L8/B8)</f>
        <v/>
      </c>
    </row>
    <row r="9">
      <c r="A9" s="16" t="inlineStr">
        <is>
          <t>2026-01</t>
        </is>
      </c>
      <c r="B9" s="17" t="n">
        <v>3200000</v>
      </c>
      <c r="C9" s="17" t="n">
        <v>712000</v>
      </c>
      <c r="D9" s="17" t="n">
        <v>145000</v>
      </c>
      <c r="E9" s="17" t="n">
        <v>92000</v>
      </c>
      <c r="F9" s="17" t="n">
        <v>638000</v>
      </c>
      <c r="G9" s="17" t="n">
        <v>105000</v>
      </c>
      <c r="H9" s="17" t="n">
        <v>38000</v>
      </c>
      <c r="I9" s="17" t="n">
        <v>200000</v>
      </c>
      <c r="J9" s="17" t="n">
        <v>128000</v>
      </c>
      <c r="K9" s="18">
        <f>SUM(C9:J9)</f>
        <v/>
      </c>
      <c r="L9" s="18">
        <f>B9-K9</f>
        <v/>
      </c>
      <c r="M9" s="19">
        <f>IF(B9=0,0,L9/B9)</f>
        <v/>
      </c>
    </row>
    <row r="10">
      <c r="A10" s="16" t="inlineStr">
        <is>
          <t>2026-02</t>
        </is>
      </c>
      <c r="B10" s="17" t="n">
        <v>3200000</v>
      </c>
      <c r="C10" s="17" t="n">
        <v>658000</v>
      </c>
      <c r="D10" s="17" t="n">
        <v>133000</v>
      </c>
      <c r="E10" s="17" t="n">
        <v>92000</v>
      </c>
      <c r="F10" s="17" t="n">
        <v>612000</v>
      </c>
      <c r="G10" s="17" t="n">
        <v>142000</v>
      </c>
      <c r="H10" s="17" t="n">
        <v>52000</v>
      </c>
      <c r="I10" s="17" t="n">
        <v>200000</v>
      </c>
      <c r="J10" s="17" t="n">
        <v>156000</v>
      </c>
      <c r="K10" s="18">
        <f>SUM(C10:J10)</f>
        <v/>
      </c>
      <c r="L10" s="18">
        <f>B10-K10</f>
        <v/>
      </c>
      <c r="M10" s="19">
        <f>IF(B10=0,0,L10/B10)</f>
        <v/>
      </c>
    </row>
    <row r="11">
      <c r="A11" s="16" t="inlineStr">
        <is>
          <t>2026-03</t>
        </is>
      </c>
      <c r="B11" s="17" t="n">
        <v>3200000</v>
      </c>
      <c r="C11" s="17" t="n">
        <v>694000</v>
      </c>
      <c r="D11" s="17" t="n">
        <v>149000</v>
      </c>
      <c r="E11" s="17" t="n">
        <v>92000</v>
      </c>
      <c r="F11" s="17" t="n">
        <v>498000</v>
      </c>
      <c r="G11" s="17" t="n">
        <v>118000</v>
      </c>
      <c r="H11" s="17" t="n">
        <v>852000</v>
      </c>
      <c r="I11" s="17" t="n">
        <v>200000</v>
      </c>
      <c r="J11" s="17" t="n">
        <v>141000</v>
      </c>
      <c r="K11" s="18">
        <f>SUM(C11:J11)</f>
        <v/>
      </c>
      <c r="L11" s="18">
        <f>B11-K11</f>
        <v/>
      </c>
      <c r="M11" s="19">
        <f>IF(B11=0,0,L11/B11)</f>
        <v/>
      </c>
    </row>
    <row r="12">
      <c r="A12" s="16" t="inlineStr">
        <is>
          <t>2026-04</t>
        </is>
      </c>
      <c r="B12" s="17" t="n">
        <v>3200000</v>
      </c>
      <c r="C12" s="17" t="n">
        <v>723000</v>
      </c>
      <c r="D12" s="17" t="n">
        <v>156000</v>
      </c>
      <c r="E12" s="17" t="n">
        <v>92000</v>
      </c>
      <c r="F12" s="17" t="n">
        <v>442000</v>
      </c>
      <c r="G12" s="17" t="n">
        <v>187000</v>
      </c>
      <c r="H12" s="17" t="n">
        <v>31000</v>
      </c>
      <c r="I12" s="17" t="n">
        <v>200000</v>
      </c>
      <c r="J12" s="17" t="n">
        <v>168000</v>
      </c>
      <c r="K12" s="18">
        <f>SUM(C12:J12)</f>
        <v/>
      </c>
      <c r="L12" s="18">
        <f>B12-K12</f>
        <v/>
      </c>
      <c r="M12" s="19">
        <f>IF(B12=0,0,L12/B12)</f>
        <v/>
      </c>
    </row>
    <row r="13">
      <c r="A13" s="16" t="inlineStr">
        <is>
          <t>2026-05</t>
        </is>
      </c>
      <c r="B13" s="17" t="n">
        <v>3200000</v>
      </c>
      <c r="C13" s="17" t="n">
        <v>748000</v>
      </c>
      <c r="D13" s="17" t="n">
        <v>161000</v>
      </c>
      <c r="E13" s="17" t="n">
        <v>92000</v>
      </c>
      <c r="F13" s="17" t="n">
        <v>421000</v>
      </c>
      <c r="G13" s="17" t="n">
        <v>245000</v>
      </c>
      <c r="H13" s="17" t="n">
        <v>29000</v>
      </c>
      <c r="I13" s="17" t="n">
        <v>200000</v>
      </c>
      <c r="J13" s="17" t="n">
        <v>152000</v>
      </c>
      <c r="K13" s="18">
        <f>SUM(C13:J13)</f>
        <v/>
      </c>
      <c r="L13" s="18">
        <f>B13-K13</f>
        <v/>
      </c>
      <c r="M13" s="19">
        <f>IF(B13=0,0,L13/B13)</f>
        <v/>
      </c>
    </row>
    <row r="14">
      <c r="A14" s="16" t="inlineStr">
        <is>
          <t>2026-06</t>
        </is>
      </c>
      <c r="B14" s="17" t="n">
        <v>3200000</v>
      </c>
      <c r="C14" s="17" t="n">
        <v>731000</v>
      </c>
      <c r="D14" s="17" t="n">
        <v>154000</v>
      </c>
      <c r="E14" s="17" t="n">
        <v>92000</v>
      </c>
      <c r="F14" s="17" t="n">
        <v>468000</v>
      </c>
      <c r="G14" s="17" t="n">
        <v>178000</v>
      </c>
      <c r="H14" s="17" t="n">
        <v>44000</v>
      </c>
      <c r="I14" s="17" t="n">
        <v>200000</v>
      </c>
      <c r="J14" s="17" t="n">
        <v>139000</v>
      </c>
      <c r="K14" s="18">
        <f>SUM(C14:J14)</f>
        <v/>
      </c>
      <c r="L14" s="18">
        <f>B14-K14</f>
        <v/>
      </c>
      <c r="M14" s="19">
        <f>IF(B14=0,0,L14/B14)</f>
        <v/>
      </c>
    </row>
    <row r="15">
      <c r="A15" s="16" t="inlineStr">
        <is>
          <t>2026-07</t>
        </is>
      </c>
      <c r="B15" s="17" t="n">
        <v>3200000</v>
      </c>
      <c r="C15" s="17" t="n">
        <v>776000</v>
      </c>
      <c r="D15" s="17" t="n">
        <v>168000</v>
      </c>
      <c r="E15" s="17" t="n">
        <v>92000</v>
      </c>
      <c r="F15" s="17" t="n">
        <v>583000</v>
      </c>
      <c r="G15" s="17" t="n">
        <v>468000</v>
      </c>
      <c r="H15" s="17" t="n">
        <v>36000</v>
      </c>
      <c r="I15" s="17" t="n">
        <v>200000</v>
      </c>
      <c r="J15" s="17" t="n">
        <v>224000</v>
      </c>
      <c r="K15" s="18">
        <f>SUM(C15:J15)</f>
        <v/>
      </c>
      <c r="L15" s="18">
        <f>B15-K15</f>
        <v/>
      </c>
      <c r="M15" s="19">
        <f>IF(B15=0,0,L15/B15)</f>
        <v/>
      </c>
    </row>
    <row r="16">
      <c r="A16" s="20" t="inlineStr">
        <is>
          <t>합계</t>
        </is>
      </c>
      <c r="B16" s="21">
        <f>SUM(B4:B15)</f>
        <v/>
      </c>
      <c r="C16" s="21">
        <f>SUM(C4:C15)</f>
        <v/>
      </c>
      <c r="D16" s="21">
        <f>SUM(D4:D15)</f>
        <v/>
      </c>
      <c r="E16" s="21">
        <f>SUM(E4:E15)</f>
        <v/>
      </c>
      <c r="F16" s="21">
        <f>SUM(F4:F15)</f>
        <v/>
      </c>
      <c r="G16" s="21">
        <f>SUM(G4:G15)</f>
        <v/>
      </c>
      <c r="H16" s="21">
        <f>SUM(H4:H15)</f>
        <v/>
      </c>
      <c r="I16" s="21">
        <f>SUM(I4:I15)</f>
        <v/>
      </c>
      <c r="J16" s="21">
        <f>SUM(J4:J15)</f>
        <v/>
      </c>
      <c r="K16" s="21">
        <f>SUM(K4:K15)</f>
        <v/>
      </c>
      <c r="L16" s="21">
        <f>SUM(L4:L15)</f>
        <v/>
      </c>
      <c r="M16" s="22">
        <f>IF(B16=0,0,L16/B16)</f>
        <v/>
      </c>
    </row>
    <row r="17">
      <c r="A17" s="20" t="inlineStr">
        <is>
          <t>평균</t>
        </is>
      </c>
      <c r="B17" s="21">
        <f>AVERAGE(B4:B15)</f>
        <v/>
      </c>
      <c r="C17" s="21">
        <f>AVERAGE(C4:C15)</f>
        <v/>
      </c>
      <c r="D17" s="21">
        <f>AVERAGE(D4:D15)</f>
        <v/>
      </c>
      <c r="E17" s="21">
        <f>AVERAGE(E4:E15)</f>
        <v/>
      </c>
      <c r="F17" s="21">
        <f>AVERAGE(F4:F15)</f>
        <v/>
      </c>
      <c r="G17" s="21">
        <f>AVERAGE(G4:G15)</f>
        <v/>
      </c>
      <c r="H17" s="21">
        <f>AVERAGE(H4:H15)</f>
        <v/>
      </c>
      <c r="I17" s="21">
        <f>AVERAGE(I4:I15)</f>
        <v/>
      </c>
      <c r="J17" s="21">
        <f>AVERAGE(J4:J15)</f>
        <v/>
      </c>
      <c r="K17" s="21">
        <f>AVERAGE(K4:K15)</f>
        <v/>
      </c>
      <c r="L17" s="21">
        <f>AVERAGE(L4:L15)</f>
        <v/>
      </c>
      <c r="M17" s="22">
        <f>IF(B17=0,0,L17/B17)</f>
        <v/>
      </c>
    </row>
    <row r="19">
      <c r="A19" s="23" t="inlineStr">
        <is>
          <t>💡 출제자 메모 — AI가 이런 걸 찾아내는지 확인해 보세요: ① 2026-03 의료비가 유난히 큽니다(치과 치료). ② 2025-12는 수입이 평소보다 많습니다(상여금). ③ 2026-07 문화·여가비가 급증합니다(여름휴가). ④ 통신비가 2026-01부터 올랐습니다(요금제 변경).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5" t="n"/>
    </row>
    <row r="20">
      <c r="A20" s="26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8" t="n"/>
    </row>
  </sheetData>
  <mergeCells count="1">
    <mergeCell ref="A19:M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3" customWidth="1" min="4" max="4"/>
    <col width="11" customWidth="1" min="5" max="5"/>
    <col width="14" customWidth="1" min="6" max="6"/>
    <col width="14" customWidth="1" min="7" max="7"/>
    <col width="3" customWidth="1" min="8" max="8"/>
    <col width="16" customWidth="1" min="9" max="9"/>
    <col width="20" customWidth="1" min="10" max="10"/>
    <col width="34" customWidth="1" min="11" max="11"/>
  </cols>
  <sheetData>
    <row r="1">
      <c r="A1" s="15" t="inlineStr">
        <is>
          <t>📚 주말 스터디 모임 회원 명단</t>
        </is>
      </c>
    </row>
    <row r="2">
      <c r="A2" s="2" t="inlineStr">
        <is>
          <t>VLOOKUP 실습과 IF 함수 실습에 쓰는 표입니다. (가상의 데이터입니다)</t>
        </is>
      </c>
    </row>
    <row r="3">
      <c r="A3" s="4" t="inlineStr">
        <is>
          <t>회원번호</t>
        </is>
      </c>
      <c r="B3" s="4" t="inlineStr">
        <is>
          <t>이름</t>
        </is>
      </c>
      <c r="C3" s="4" t="inlineStr">
        <is>
          <t>연락처</t>
        </is>
      </c>
      <c r="D3" s="4" t="inlineStr">
        <is>
          <t>가입일</t>
        </is>
      </c>
      <c r="E3" s="4" t="inlineStr">
        <is>
          <t>출석횟수</t>
        </is>
      </c>
      <c r="F3" s="4" t="inlineStr">
        <is>
          <t>중간평가점수</t>
        </is>
      </c>
      <c r="G3" s="4" t="inlineStr">
        <is>
          <t>등급</t>
        </is>
      </c>
      <c r="I3" s="29" t="inlineStr">
        <is>
          <t>🔍 VLOOKUP 연습 구역</t>
        </is>
      </c>
    </row>
    <row r="4">
      <c r="A4" s="16" t="inlineStr">
        <is>
          <t>M001</t>
        </is>
      </c>
      <c r="B4" s="30" t="inlineStr">
        <is>
          <t>김서연</t>
        </is>
      </c>
      <c r="C4" s="16" t="inlineStr">
        <is>
          <t>010-2431-8802</t>
        </is>
      </c>
      <c r="D4" s="16" t="inlineStr">
        <is>
          <t>2025-03-04</t>
        </is>
      </c>
      <c r="E4" s="16" t="n">
        <v>22</v>
      </c>
      <c r="F4" s="16" t="n">
        <v>94</v>
      </c>
      <c r="G4" s="31" t="n"/>
    </row>
    <row r="5">
      <c r="A5" s="16" t="inlineStr">
        <is>
          <t>M002</t>
        </is>
      </c>
      <c r="B5" s="30" t="inlineStr">
        <is>
          <t>박도현</t>
        </is>
      </c>
      <c r="C5" s="16" t="inlineStr">
        <is>
          <t>010-5518-3097</t>
        </is>
      </c>
      <c r="D5" s="16" t="inlineStr">
        <is>
          <t>2025-03-04</t>
        </is>
      </c>
      <c r="E5" s="16" t="n">
        <v>19</v>
      </c>
      <c r="F5" s="16" t="n">
        <v>88</v>
      </c>
      <c r="G5" s="31" t="n"/>
      <c r="I5" s="32" t="inlineStr">
        <is>
          <t>회원번호를 입력하면 →</t>
        </is>
      </c>
    </row>
    <row r="6">
      <c r="A6" s="16" t="inlineStr">
        <is>
          <t>M003</t>
        </is>
      </c>
      <c r="B6" s="30" t="inlineStr">
        <is>
          <t>이하늘</t>
        </is>
      </c>
      <c r="C6" s="16" t="inlineStr">
        <is>
          <t>010-3382-6614</t>
        </is>
      </c>
      <c r="D6" s="16" t="inlineStr">
        <is>
          <t>2025-03-11</t>
        </is>
      </c>
      <c r="E6" s="16" t="n">
        <v>24</v>
      </c>
      <c r="F6" s="16" t="n">
        <v>90</v>
      </c>
      <c r="G6" s="31" t="n"/>
      <c r="I6" s="4" t="inlineStr">
        <is>
          <t>회원번호</t>
        </is>
      </c>
      <c r="J6" s="4" t="inlineStr">
        <is>
          <t>이름</t>
        </is>
      </c>
      <c r="K6" s="4" t="inlineStr">
        <is>
          <t>연락처</t>
        </is>
      </c>
    </row>
    <row r="7">
      <c r="A7" s="16" t="inlineStr">
        <is>
          <t>M004</t>
        </is>
      </c>
      <c r="B7" s="30" t="inlineStr">
        <is>
          <t>최민준</t>
        </is>
      </c>
      <c r="C7" s="16" t="inlineStr">
        <is>
          <t>010-7745-2208</t>
        </is>
      </c>
      <c r="D7" s="16" t="inlineStr">
        <is>
          <t>2025-03-18</t>
        </is>
      </c>
      <c r="E7" s="16" t="n">
        <v>12</v>
      </c>
      <c r="F7" s="16" t="n">
        <v>66</v>
      </c>
      <c r="G7" s="31" t="n"/>
      <c r="I7" s="7" t="inlineStr">
        <is>
          <t>M007</t>
        </is>
      </c>
      <c r="J7" s="33">
        <f>IFERROR(VLOOKUP($I7,$A$4:$F$23,2,FALSE),"없는 회원번호")</f>
        <v/>
      </c>
      <c r="K7" s="33">
        <f>IFERROR(VLOOKUP($I7,$A$4:$F$23,3,FALSE),"없는 회원번호")</f>
        <v/>
      </c>
    </row>
    <row r="8">
      <c r="A8" s="16" t="inlineStr">
        <is>
          <t>M005</t>
        </is>
      </c>
      <c r="B8" s="30" t="inlineStr">
        <is>
          <t>정유진</t>
        </is>
      </c>
      <c r="C8" s="16" t="inlineStr">
        <is>
          <t>010-2907-5531</t>
        </is>
      </c>
      <c r="D8" s="16" t="inlineStr">
        <is>
          <t>2025-04-01</t>
        </is>
      </c>
      <c r="E8" s="16" t="n">
        <v>21</v>
      </c>
      <c r="F8" s="16" t="n">
        <v>79</v>
      </c>
      <c r="G8" s="31" t="n"/>
    </row>
    <row r="9">
      <c r="A9" s="16" t="inlineStr">
        <is>
          <t>M006</t>
        </is>
      </c>
      <c r="B9" s="30" t="inlineStr">
        <is>
          <t>강태오</t>
        </is>
      </c>
      <c r="C9" s="16" t="inlineStr">
        <is>
          <t>010-6614-9973</t>
        </is>
      </c>
      <c r="D9" s="16" t="inlineStr">
        <is>
          <t>2025-04-08</t>
        </is>
      </c>
      <c r="E9" s="16" t="n">
        <v>17</v>
      </c>
      <c r="F9" s="16" t="n">
        <v>72</v>
      </c>
      <c r="G9" s="31" t="n"/>
      <c r="I9" s="32" t="inlineStr">
        <is>
          <t>직접 해보기</t>
        </is>
      </c>
    </row>
    <row r="10">
      <c r="A10" s="16" t="inlineStr">
        <is>
          <t>M007</t>
        </is>
      </c>
      <c r="B10" s="30" t="inlineStr">
        <is>
          <t>윤소미</t>
        </is>
      </c>
      <c r="C10" s="16" t="inlineStr">
        <is>
          <t>010-4428-1150</t>
        </is>
      </c>
      <c r="D10" s="16" t="inlineStr">
        <is>
          <t>2025-04-15</t>
        </is>
      </c>
      <c r="E10" s="16" t="n">
        <v>23</v>
      </c>
      <c r="F10" s="16" t="n">
        <v>96</v>
      </c>
      <c r="G10" s="31" t="n"/>
      <c r="I10" s="7" t="inlineStr">
        <is>
          <t>M013</t>
        </is>
      </c>
      <c r="J10" s="34" t="inlineStr">
        <is>
          <t>여기에 수식</t>
        </is>
      </c>
      <c r="K10" s="34" t="inlineStr">
        <is>
          <t>여기에 수식</t>
        </is>
      </c>
    </row>
    <row r="11">
      <c r="A11" s="16" t="inlineStr">
        <is>
          <t>M008</t>
        </is>
      </c>
      <c r="B11" s="30" t="inlineStr">
        <is>
          <t>임재현</t>
        </is>
      </c>
      <c r="C11" s="16" t="inlineStr">
        <is>
          <t>010-8836-4402</t>
        </is>
      </c>
      <c r="D11" s="16" t="inlineStr">
        <is>
          <t>2025-05-06</t>
        </is>
      </c>
      <c r="E11" s="16" t="n">
        <v>9</v>
      </c>
      <c r="F11" s="16" t="n">
        <v>58</v>
      </c>
      <c r="G11" s="31" t="n"/>
    </row>
    <row r="12">
      <c r="A12" s="16" t="inlineStr">
        <is>
          <t>M009</t>
        </is>
      </c>
      <c r="B12" s="30" t="inlineStr">
        <is>
          <t>한지우</t>
        </is>
      </c>
      <c r="C12" s="16" t="inlineStr">
        <is>
          <t>010-3319-7724</t>
        </is>
      </c>
      <c r="D12" s="16" t="inlineStr">
        <is>
          <t>2025-05-13</t>
        </is>
      </c>
      <c r="E12" s="16" t="n">
        <v>20</v>
      </c>
      <c r="F12" s="16" t="n">
        <v>85</v>
      </c>
      <c r="G12" s="31" t="n"/>
      <c r="I12" s="35" t="inlineStr">
        <is>
          <t>J7 칸을 클릭해서 수식을 확인해 보세요. 같은 방식으로 J10·K10을 직접 채우면 됩니다.
AI에게 이렇게 물어보세요 — "A4:F23 표에서 I10에 적은 회원번호로 이름을 찾는 VLOOKUP 수식을 만들어줘. 없는 번호면 '없는 회원번호'라고 뜨게 해줘."</t>
        </is>
      </c>
      <c r="J12" s="24" t="n"/>
      <c r="K12" s="25" t="n"/>
    </row>
    <row r="13">
      <c r="A13" s="16" t="inlineStr">
        <is>
          <t>M010</t>
        </is>
      </c>
      <c r="B13" s="30" t="inlineStr">
        <is>
          <t>오세훈</t>
        </is>
      </c>
      <c r="C13" s="16" t="inlineStr">
        <is>
          <t>010-5572-2286</t>
        </is>
      </c>
      <c r="D13" s="16" t="inlineStr">
        <is>
          <t>2025-05-27</t>
        </is>
      </c>
      <c r="E13" s="16" t="n">
        <v>15</v>
      </c>
      <c r="F13" s="16" t="n">
        <v>70</v>
      </c>
      <c r="G13" s="31" t="n"/>
      <c r="I13" s="36" t="n"/>
      <c r="K13" s="37" t="n"/>
    </row>
    <row r="14">
      <c r="A14" s="16" t="inlineStr">
        <is>
          <t>M011</t>
        </is>
      </c>
      <c r="B14" s="30" t="inlineStr">
        <is>
          <t>신예린</t>
        </is>
      </c>
      <c r="C14" s="16" t="inlineStr">
        <is>
          <t>010-9903-6648</t>
        </is>
      </c>
      <c r="D14" s="16" t="inlineStr">
        <is>
          <t>2025-06-03</t>
        </is>
      </c>
      <c r="E14" s="16" t="n">
        <v>25</v>
      </c>
      <c r="F14" s="16" t="n">
        <v>92</v>
      </c>
      <c r="G14" s="31" t="n"/>
      <c r="I14" s="26" t="n"/>
      <c r="J14" s="27" t="n"/>
      <c r="K14" s="28" t="n"/>
    </row>
    <row r="15">
      <c r="A15" s="16" t="inlineStr">
        <is>
          <t>M012</t>
        </is>
      </c>
      <c r="B15" s="30" t="inlineStr">
        <is>
          <t>배준영</t>
        </is>
      </c>
      <c r="C15" s="16" t="inlineStr">
        <is>
          <t>010-2264-3391</t>
        </is>
      </c>
      <c r="D15" s="16" t="inlineStr">
        <is>
          <t>2025-06-10</t>
        </is>
      </c>
      <c r="E15" s="16" t="n">
        <v>18</v>
      </c>
      <c r="F15" s="16" t="n">
        <v>81</v>
      </c>
      <c r="G15" s="31" t="n"/>
    </row>
    <row r="16">
      <c r="A16" s="16" t="inlineStr">
        <is>
          <t>M013</t>
        </is>
      </c>
      <c r="B16" s="30" t="inlineStr">
        <is>
          <t>홍가온</t>
        </is>
      </c>
      <c r="C16" s="16" t="inlineStr">
        <is>
          <t>010-7738-5504</t>
        </is>
      </c>
      <c r="D16" s="16" t="inlineStr">
        <is>
          <t>2025-06-24</t>
        </is>
      </c>
      <c r="E16" s="16" t="n">
        <v>11</v>
      </c>
      <c r="F16" s="16" t="n">
        <v>63</v>
      </c>
      <c r="G16" s="31" t="n"/>
    </row>
    <row r="17">
      <c r="A17" s="16" t="inlineStr">
        <is>
          <t>M014</t>
        </is>
      </c>
      <c r="B17" s="30" t="inlineStr">
        <is>
          <t>서지훈</t>
        </is>
      </c>
      <c r="C17" s="16" t="inlineStr">
        <is>
          <t>010-4491-8827</t>
        </is>
      </c>
      <c r="D17" s="16" t="inlineStr">
        <is>
          <t>2025-07-01</t>
        </is>
      </c>
      <c r="E17" s="16" t="n">
        <v>22</v>
      </c>
      <c r="F17" s="16" t="n">
        <v>89</v>
      </c>
      <c r="G17" s="31" t="n"/>
    </row>
    <row r="18">
      <c r="A18" s="16" t="inlineStr">
        <is>
          <t>M015</t>
        </is>
      </c>
      <c r="B18" s="30" t="inlineStr">
        <is>
          <t>노아름</t>
        </is>
      </c>
      <c r="C18" s="16" t="inlineStr">
        <is>
          <t>010-6605-1173</t>
        </is>
      </c>
      <c r="D18" s="16" t="inlineStr">
        <is>
          <t>2025-07-15</t>
        </is>
      </c>
      <c r="E18" s="16" t="n">
        <v>16</v>
      </c>
      <c r="F18" s="16" t="n">
        <v>74</v>
      </c>
      <c r="G18" s="31" t="n"/>
    </row>
    <row r="19">
      <c r="A19" s="16" t="inlineStr">
        <is>
          <t>M016</t>
        </is>
      </c>
      <c r="B19" s="30" t="inlineStr">
        <is>
          <t>문상우</t>
        </is>
      </c>
      <c r="C19" s="16" t="inlineStr">
        <is>
          <t>010-3327-9940</t>
        </is>
      </c>
      <c r="D19" s="16" t="inlineStr">
        <is>
          <t>2025-08-05</t>
        </is>
      </c>
      <c r="E19" s="16" t="n">
        <v>20</v>
      </c>
      <c r="F19" s="16" t="n">
        <v>87</v>
      </c>
      <c r="G19" s="31" t="n"/>
    </row>
    <row r="20">
      <c r="A20" s="16" t="inlineStr">
        <is>
          <t>M017</t>
        </is>
      </c>
      <c r="B20" s="30" t="inlineStr">
        <is>
          <t>구여진</t>
        </is>
      </c>
      <c r="C20" s="16" t="inlineStr">
        <is>
          <t>010-8814-2265</t>
        </is>
      </c>
      <c r="D20" s="16" t="inlineStr">
        <is>
          <t>2025-08-19</t>
        </is>
      </c>
      <c r="E20" s="16" t="n">
        <v>13</v>
      </c>
      <c r="F20" s="16" t="n">
        <v>69</v>
      </c>
      <c r="G20" s="31" t="n"/>
    </row>
    <row r="21">
      <c r="A21" s="16" t="inlineStr">
        <is>
          <t>M018</t>
        </is>
      </c>
      <c r="B21" s="30" t="inlineStr">
        <is>
          <t>장민서</t>
        </is>
      </c>
      <c r="C21" s="16" t="inlineStr">
        <is>
          <t>010-5546-7708</t>
        </is>
      </c>
      <c r="D21" s="16" t="inlineStr">
        <is>
          <t>2025-09-02</t>
        </is>
      </c>
      <c r="E21" s="16" t="n">
        <v>24</v>
      </c>
      <c r="F21" s="16" t="n">
        <v>98</v>
      </c>
      <c r="G21" s="31" t="n"/>
    </row>
    <row r="22">
      <c r="A22" s="16" t="inlineStr">
        <is>
          <t>M019</t>
        </is>
      </c>
      <c r="B22" s="30" t="inlineStr">
        <is>
          <t>권해성</t>
        </is>
      </c>
      <c r="C22" s="16" t="inlineStr">
        <is>
          <t>010-2273-4419</t>
        </is>
      </c>
      <c r="D22" s="16" t="inlineStr">
        <is>
          <t>2025-09-16</t>
        </is>
      </c>
      <c r="E22" s="16" t="n">
        <v>19</v>
      </c>
      <c r="F22" s="16" t="n">
        <v>83</v>
      </c>
      <c r="G22" s="31" t="n"/>
    </row>
    <row r="23">
      <c r="A23" s="16" t="inlineStr">
        <is>
          <t>M020</t>
        </is>
      </c>
      <c r="B23" s="30" t="inlineStr">
        <is>
          <t>표나연</t>
        </is>
      </c>
      <c r="C23" s="16" t="inlineStr">
        <is>
          <t>010-9958-6032</t>
        </is>
      </c>
      <c r="D23" s="16" t="inlineStr">
        <is>
          <t>2025-10-07</t>
        </is>
      </c>
      <c r="E23" s="16" t="n">
        <v>14</v>
      </c>
      <c r="F23" s="16" t="n">
        <v>71</v>
      </c>
      <c r="G23" s="31" t="n"/>
    </row>
    <row r="25" ht="32" customHeight="1">
      <c r="A25" s="23" t="inlineStr">
        <is>
          <t>⬆ G열 '등급'은 비워 두었습니다. 실습 2에서 AI가 만들어 준 IF 함수를 G4에 붙여넣고 아래로 끌어 채우세요. (기준: 90점 이상=우수, 70~89=보통, 70 미만=노력필요)</t>
        </is>
      </c>
      <c r="B25" s="13" t="n"/>
      <c r="C25" s="13" t="n"/>
      <c r="D25" s="13" t="n"/>
      <c r="E25" s="13" t="n"/>
      <c r="F25" s="13" t="n"/>
      <c r="G25" s="14" t="n"/>
    </row>
  </sheetData>
  <mergeCells count="2">
    <mergeCell ref="I12:K14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4" customWidth="1" min="5" max="5"/>
    <col width="4" customWidth="1" min="6" max="6"/>
    <col width="40" customWidth="1" min="7" max="7"/>
  </cols>
  <sheetData>
    <row r="1">
      <c r="A1" s="15" t="inlineStr">
        <is>
          <t>⚖️ AI 3사 비교 평가표</t>
        </is>
      </c>
    </row>
    <row r="2">
      <c r="A2" s="2" t="inlineStr">
        <is>
          <t>노란색 칸에 0~25점을 입력하세요. 소계·총점·순위는 자동으로 계산됩니다.</t>
        </is>
      </c>
    </row>
    <row r="4">
      <c r="A4" s="4" t="inlineStr">
        <is>
          <t>실습</t>
        </is>
      </c>
      <c r="B4" s="4" t="inlineStr">
        <is>
          <t>평가 항목</t>
        </is>
      </c>
      <c r="C4" s="4" t="inlineStr">
        <is>
          <t>ChatGPT</t>
        </is>
      </c>
      <c r="D4" s="4" t="inlineStr">
        <is>
          <t>Claude</t>
        </is>
      </c>
      <c r="E4" s="4" t="inlineStr">
        <is>
          <t>Gemini</t>
        </is>
      </c>
      <c r="G4" s="38" t="inlineStr">
        <is>
          <t>📌 점수 기준</t>
        </is>
      </c>
    </row>
    <row r="5">
      <c r="A5" s="39" t="inlineStr">
        <is>
          <t>실습 1 · HTML 분석 보고서</t>
        </is>
      </c>
      <c r="B5" s="40" t="inlineStr">
        <is>
          <t>정확성 (내용이 맞는가)</t>
        </is>
      </c>
      <c r="C5" s="41" t="n"/>
      <c r="D5" s="41" t="n"/>
      <c r="E5" s="41" t="n"/>
      <c r="G5" s="42" t="inlineStr">
        <is>
          <t>각 항목 25점 만점입니다.
  22~25점  아주 좋다 — 그대로 써도 되겠다
  17~21점  괜찮다 — 조금 고치면 쓸 만하다
  12~16점  보통이다
   0~11점  아쉽다 — 다시 시켜야겠다
세 AI에 똑같은 프롬프트를 넣어야 공정한 비교가 됩니다.
점수보다 중요한 건 '왜 그렇게 느꼈는지'입니다. 아래 메모 칸에 이유를 한 줄씩 적어 보세요.</t>
        </is>
      </c>
    </row>
    <row r="6">
      <c r="A6" s="43" t="n"/>
      <c r="B6" s="40" t="inlineStr">
        <is>
          <t>이해하기 쉬움 (설명이 친절한가)</t>
        </is>
      </c>
      <c r="C6" s="41" t="n"/>
      <c r="D6" s="41" t="n"/>
      <c r="E6" s="41" t="n"/>
      <c r="G6" s="43" t="n"/>
    </row>
    <row r="7">
      <c r="A7" s="43" t="n"/>
      <c r="B7" s="40" t="inlineStr">
        <is>
          <t>결과물 품질 (바로 쓸 만한가)</t>
        </is>
      </c>
      <c r="C7" s="41" t="n"/>
      <c r="D7" s="41" t="n"/>
      <c r="E7" s="41" t="n"/>
      <c r="G7" s="43" t="n"/>
    </row>
    <row r="8">
      <c r="A8" s="44" t="n"/>
      <c r="B8" s="40" t="inlineStr">
        <is>
          <t>한국어 자연스러움</t>
        </is>
      </c>
      <c r="C8" s="41" t="n"/>
      <c r="D8" s="41" t="n"/>
      <c r="E8" s="41" t="n"/>
      <c r="G8" s="43" t="n"/>
    </row>
    <row r="9">
      <c r="A9" s="45" t="n"/>
      <c r="B9" s="46" t="inlineStr">
        <is>
          <t>소계 (100점 만점)</t>
        </is>
      </c>
      <c r="C9" s="47">
        <f>SUM(C5:C8)</f>
        <v/>
      </c>
      <c r="D9" s="47">
        <f>SUM(D5:D8)</f>
        <v/>
      </c>
      <c r="E9" s="47">
        <f>SUM(E5:E8)</f>
        <v/>
      </c>
      <c r="G9" s="43" t="n"/>
    </row>
    <row r="10">
      <c r="A10" s="39" t="inlineStr">
        <is>
          <t>실습 2 · PPT 구성안</t>
        </is>
      </c>
      <c r="B10" s="40" t="inlineStr">
        <is>
          <t>정확성 (내용이 맞는가)</t>
        </is>
      </c>
      <c r="C10" s="41" t="n"/>
      <c r="D10" s="41" t="n"/>
      <c r="E10" s="41" t="n"/>
      <c r="G10" s="43" t="n"/>
    </row>
    <row r="11">
      <c r="A11" s="43" t="n"/>
      <c r="B11" s="40" t="inlineStr">
        <is>
          <t>이해하기 쉬움 (설명이 친절한가)</t>
        </is>
      </c>
      <c r="C11" s="41" t="n"/>
      <c r="D11" s="41" t="n"/>
      <c r="E11" s="41" t="n"/>
      <c r="G11" s="43" t="n"/>
    </row>
    <row r="12">
      <c r="A12" s="43" t="n"/>
      <c r="B12" s="40" t="inlineStr">
        <is>
          <t>결과물 품질 (바로 쓸 만한가)</t>
        </is>
      </c>
      <c r="C12" s="41" t="n"/>
      <c r="D12" s="41" t="n"/>
      <c r="E12" s="41" t="n"/>
      <c r="G12" s="43" t="n"/>
    </row>
    <row r="13">
      <c r="A13" s="44" t="n"/>
      <c r="B13" s="40" t="inlineStr">
        <is>
          <t>한국어 자연스러움</t>
        </is>
      </c>
      <c r="C13" s="41" t="n"/>
      <c r="D13" s="41" t="n"/>
      <c r="E13" s="41" t="n"/>
      <c r="G13" s="43" t="n"/>
    </row>
    <row r="14">
      <c r="A14" s="45" t="n"/>
      <c r="B14" s="46" t="inlineStr">
        <is>
          <t>소계 (100점 만점)</t>
        </is>
      </c>
      <c r="C14" s="47">
        <f>SUM(C10:C13)</f>
        <v/>
      </c>
      <c r="D14" s="47">
        <f>SUM(D10:D13)</f>
        <v/>
      </c>
      <c r="E14" s="47">
        <f>SUM(E10:E13)</f>
        <v/>
      </c>
      <c r="G14" s="43" t="n"/>
    </row>
    <row r="15">
      <c r="A15" s="39" t="inlineStr">
        <is>
          <t>실습 3 · 이미지 생성</t>
        </is>
      </c>
      <c r="B15" s="40" t="inlineStr">
        <is>
          <t>정확성 (내용이 맞는가)</t>
        </is>
      </c>
      <c r="C15" s="41" t="n"/>
      <c r="D15" s="41" t="n"/>
      <c r="E15" s="41" t="n"/>
      <c r="G15" s="43" t="n"/>
    </row>
    <row r="16">
      <c r="A16" s="43" t="n"/>
      <c r="B16" s="40" t="inlineStr">
        <is>
          <t>이해하기 쉬움 (설명이 친절한가)</t>
        </is>
      </c>
      <c r="C16" s="41" t="n"/>
      <c r="D16" s="41" t="n"/>
      <c r="E16" s="41" t="n"/>
      <c r="G16" s="44" t="n"/>
    </row>
    <row r="17">
      <c r="A17" s="43" t="n"/>
      <c r="B17" s="40" t="inlineStr">
        <is>
          <t>결과물 품질 (바로 쓸 만한가)</t>
        </is>
      </c>
      <c r="C17" s="41" t="n"/>
      <c r="D17" s="41" t="n"/>
      <c r="E17" s="41" t="n"/>
    </row>
    <row r="18">
      <c r="A18" s="44" t="n"/>
      <c r="B18" s="40" t="inlineStr">
        <is>
          <t>한국어 자연스러움</t>
        </is>
      </c>
      <c r="C18" s="41" t="n"/>
      <c r="D18" s="41" t="n"/>
      <c r="E18" s="41" t="n"/>
      <c r="G18" s="38" t="inlineStr">
        <is>
          <t>✍️ 메모 (이유를 적어 보세요)</t>
        </is>
      </c>
    </row>
    <row r="19">
      <c r="A19" s="45" t="n"/>
      <c r="B19" s="46" t="inlineStr">
        <is>
          <t>소계 (100점 만점)</t>
        </is>
      </c>
      <c r="C19" s="47">
        <f>SUM(C15:C18)</f>
        <v/>
      </c>
      <c r="D19" s="47">
        <f>SUM(D15:D18)</f>
        <v/>
      </c>
      <c r="E19" s="47">
        <f>SUM(E15:E18)</f>
        <v/>
      </c>
      <c r="G19" s="48" t="n"/>
    </row>
    <row r="20">
      <c r="A20" s="39" t="inlineStr">
        <is>
          <t>실습 4 · 유튜브 요약</t>
        </is>
      </c>
      <c r="B20" s="40" t="inlineStr">
        <is>
          <t>정확성 (내용이 맞는가)</t>
        </is>
      </c>
      <c r="C20" s="41" t="n"/>
      <c r="D20" s="41" t="n"/>
      <c r="E20" s="41" t="n"/>
      <c r="G20" s="43" t="n"/>
    </row>
    <row r="21">
      <c r="A21" s="43" t="n"/>
      <c r="B21" s="40" t="inlineStr">
        <is>
          <t>이해하기 쉬움 (설명이 친절한가)</t>
        </is>
      </c>
      <c r="C21" s="41" t="n"/>
      <c r="D21" s="41" t="n"/>
      <c r="E21" s="41" t="n"/>
      <c r="G21" s="43" t="n"/>
    </row>
    <row r="22">
      <c r="A22" s="43" t="n"/>
      <c r="B22" s="40" t="inlineStr">
        <is>
          <t>결과물 품질 (바로 쓸 만한가)</t>
        </is>
      </c>
      <c r="C22" s="41" t="n"/>
      <c r="D22" s="41" t="n"/>
      <c r="E22" s="41" t="n"/>
      <c r="G22" s="43" t="n"/>
    </row>
    <row r="23">
      <c r="A23" s="44" t="n"/>
      <c r="B23" s="40" t="inlineStr">
        <is>
          <t>한국어 자연스러움</t>
        </is>
      </c>
      <c r="C23" s="41" t="n"/>
      <c r="D23" s="41" t="n"/>
      <c r="E23" s="41" t="n"/>
      <c r="G23" s="43" t="n"/>
    </row>
    <row r="24">
      <c r="A24" s="45" t="n"/>
      <c r="B24" s="46" t="inlineStr">
        <is>
          <t>소계 (100점 만점)</t>
        </is>
      </c>
      <c r="C24" s="47">
        <f>SUM(C20:C23)</f>
        <v/>
      </c>
      <c r="D24" s="47">
        <f>SUM(D20:D23)</f>
        <v/>
      </c>
      <c r="E24" s="47">
        <f>SUM(E20:E23)</f>
        <v/>
      </c>
      <c r="G24" s="43" t="n"/>
    </row>
    <row r="25">
      <c r="G25" s="43" t="n"/>
    </row>
    <row r="26">
      <c r="A26" s="49" t="n"/>
      <c r="B26" s="50" t="inlineStr">
        <is>
          <t>총점 (400점 만점)</t>
        </is>
      </c>
      <c r="C26" s="51">
        <f>C9+C14+C19+C24</f>
        <v/>
      </c>
      <c r="D26" s="51">
        <f>D9+D14+D19+D24</f>
        <v/>
      </c>
      <c r="E26" s="51">
        <f>E9+E14+E19+E24</f>
        <v/>
      </c>
      <c r="G26" s="44" t="n"/>
    </row>
    <row r="27">
      <c r="A27" s="49" t="n"/>
      <c r="B27" s="50" t="inlineStr">
        <is>
          <t>🏆 나의 1위</t>
        </is>
      </c>
      <c r="C27" s="52">
        <f>IF(SUM(C26:E26)=0,"점수를 입력하세요",INDEX($C$4:$E$4,1,MATCH(MAX($C$26:$E$26),$C$26:$E$26,0)))</f>
        <v/>
      </c>
      <c r="D27" s="13" t="n"/>
      <c r="E27" s="14" t="n"/>
    </row>
  </sheetData>
  <mergeCells count="7">
    <mergeCell ref="C27:E27"/>
    <mergeCell ref="G5:G16"/>
    <mergeCell ref="A20:A23"/>
    <mergeCell ref="A15:A18"/>
    <mergeCell ref="A5:A8"/>
    <mergeCell ref="G19:G26"/>
    <mergeCell ref="A10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52" customWidth="1" min="3" max="3"/>
    <col width="30" customWidth="1" min="4" max="4"/>
  </cols>
  <sheetData>
    <row r="1">
      <c r="A1" s="15" t="inlineStr">
        <is>
          <t>📑 PPT 구성안 예시 — 우리집 1년 가계부 돌아보기</t>
        </is>
      </c>
    </row>
    <row r="2">
      <c r="A2" s="2" t="inlineStr">
        <is>
          <t>사람이 직접 만든 구성안입니다. 정답이 아니라 비교용 참고자료예요. AI 결과물과 나란히 놓고 보세요.</t>
        </is>
      </c>
    </row>
    <row r="4">
      <c r="A4" s="4" t="inlineStr">
        <is>
          <t>슬라이드</t>
        </is>
      </c>
      <c r="B4" s="4" t="inlineStr">
        <is>
          <t>제목</t>
        </is>
      </c>
      <c r="C4" s="4" t="inlineStr">
        <is>
          <t>핵심 내용</t>
        </is>
      </c>
      <c r="D4" s="4" t="inlineStr">
        <is>
          <t>시각화 제안</t>
        </is>
      </c>
    </row>
    <row r="5" ht="40" customHeight="1">
      <c r="A5" s="16" t="inlineStr">
        <is>
          <t>1</t>
        </is>
      </c>
      <c r="B5" s="53" t="inlineStr">
        <is>
          <t>표지</t>
        </is>
      </c>
      <c r="C5" s="6" t="inlineStr">
        <is>
          <t>우리집 1년 가계부 돌아보기 (2025.08 ~ 2026.07)
작성자·작성일</t>
        </is>
      </c>
      <c r="D5" s="6" t="inlineStr">
        <is>
          <t>큰 제목 + 배경 이미지 한 장</t>
        </is>
      </c>
    </row>
    <row r="6" ht="40" customHeight="1">
      <c r="A6" s="16" t="inlineStr">
        <is>
          <t>2</t>
        </is>
      </c>
      <c r="B6" s="53" t="inlineStr">
        <is>
          <t>한눈에 보기</t>
        </is>
      </c>
      <c r="C6" s="6" t="inlineStr">
        <is>
          <t>1년 총수입, 총지출, 총저축액, 평균 저축률을 큰 숫자 네 개로</t>
        </is>
      </c>
      <c r="D6" s="6" t="inlineStr">
        <is>
          <t>숫자 카드 4개 가로 배치</t>
        </is>
      </c>
    </row>
    <row r="7" ht="40" customHeight="1">
      <c r="A7" s="16" t="inlineStr">
        <is>
          <t>3</t>
        </is>
      </c>
      <c r="B7" s="53" t="inlineStr">
        <is>
          <t>매달 얼마나 모았나</t>
        </is>
      </c>
      <c r="C7" s="6" t="inlineStr">
        <is>
          <t>월별 저축액 추이. 12월이 가장 높고 3월이 가장 낮음</t>
        </is>
      </c>
      <c r="D7" s="6" t="inlineStr">
        <is>
          <t>꺾은선 그래프 (저축액)</t>
        </is>
      </c>
    </row>
    <row r="8" ht="40" customHeight="1">
      <c r="A8" s="16" t="inlineStr">
        <is>
          <t>4</t>
        </is>
      </c>
      <c r="B8" s="53" t="inlineStr">
        <is>
          <t>돈은 어디로 갔나</t>
        </is>
      </c>
      <c r="C8" s="6" t="inlineStr">
        <is>
          <t>1년 지출을 항목별로 나눈 비중. 식비·주거공과금이 절반 이상</t>
        </is>
      </c>
      <c r="D8" s="6" t="inlineStr">
        <is>
          <t>원그래프 또는 도넛 그래프</t>
        </is>
      </c>
    </row>
    <row r="9" ht="40" customHeight="1">
      <c r="A9" s="16" t="inlineStr">
        <is>
          <t>5</t>
        </is>
      </c>
      <c r="B9" s="53" t="inlineStr">
        <is>
          <t>가장 많이 쓴 항목 3가지</t>
        </is>
      </c>
      <c r="C9" s="6" t="inlineStr">
        <is>
          <t>식비, 주거·공과금, 문화·여가 순. 각 항목 연간 합계와 월평균</t>
        </is>
      </c>
      <c r="D9" s="6" t="inlineStr">
        <is>
          <t>가로 막대그래프 (상위 3개 강조)</t>
        </is>
      </c>
    </row>
    <row r="10" ht="40" customHeight="1">
      <c r="A10" s="16" t="inlineStr">
        <is>
          <t>6</t>
        </is>
      </c>
      <c r="B10" s="53" t="inlineStr">
        <is>
          <t>눈에 띄는 달</t>
        </is>
      </c>
      <c r="C10" s="6" t="inlineStr">
        <is>
          <t>2026년 3월 의료비 85만원(치과), 2026년 7월 문화·여가 47만원(휴가)</t>
        </is>
      </c>
      <c r="D10" s="6" t="inlineStr">
        <is>
          <t>월별 막대그래프 + 해당 달만 색 강조</t>
        </is>
      </c>
    </row>
    <row r="11" ht="40" customHeight="1">
      <c r="A11" s="16" t="inlineStr">
        <is>
          <t>7</t>
        </is>
      </c>
      <c r="B11" s="53" t="inlineStr">
        <is>
          <t>조용히 오른 지출</t>
        </is>
      </c>
      <c r="C11" s="6" t="inlineStr">
        <is>
          <t>통신비가 2026년 1월부터 88,000원 → 92,000원으로 인상</t>
        </is>
      </c>
      <c r="D11" s="6" t="inlineStr">
        <is>
          <t>전후 비교 막대 2개 + 화살표</t>
        </is>
      </c>
    </row>
    <row r="12" ht="40" customHeight="1">
      <c r="A12" s="16" t="inlineStr">
        <is>
          <t>8</t>
        </is>
      </c>
      <c r="B12" s="53" t="inlineStr">
        <is>
          <t>계절을 타는 지출</t>
        </is>
      </c>
      <c r="C12" s="6" t="inlineStr">
        <is>
          <t>겨울(12~2월) 주거·공과금 평균 618,000원, 여름보다 약 19% 높음</t>
        </is>
      </c>
      <c r="D12" s="6" t="inlineStr">
        <is>
          <t>월별 영역 그래프, 겨울 구간 음영</t>
        </is>
      </c>
    </row>
    <row r="13" ht="40" customHeight="1">
      <c r="A13" s="16" t="inlineStr">
        <is>
          <t>9</t>
        </is>
      </c>
      <c r="B13" s="53" t="inlineStr">
        <is>
          <t>이렇게 해보면 어떨까</t>
        </is>
      </c>
      <c r="C13" s="6" t="inlineStr">
        <is>
          <t>① 통신 요금제 재점검 ② 의료비 대비 비상금 마련
③ 휴가비는 미리 나눠 적립</t>
        </is>
      </c>
      <c r="D13" s="6" t="inlineStr">
        <is>
          <t>체크리스트 형식 3줄</t>
        </is>
      </c>
    </row>
    <row r="14" ht="40" customHeight="1">
      <c r="A14" s="16" t="inlineStr">
        <is>
          <t>10</t>
        </is>
      </c>
      <c r="B14" s="53" t="inlineStr">
        <is>
          <t>내년 목표</t>
        </is>
      </c>
      <c r="C14" s="6" t="inlineStr">
        <is>
          <t>월 저축률 40% 유지, 비상금 300만원 만들기</t>
        </is>
      </c>
      <c r="D14" s="6" t="inlineStr">
        <is>
          <t>목표 숫자 + 진행 막대</t>
        </is>
      </c>
    </row>
    <row r="16">
      <c r="A16" s="23" t="inlineStr">
        <is>
          <t>💡 AI 결과물과 이렇게 비교해 보세요 — ① 슬라이드 순서가 이야기처럼 자연스러운가?  ② 데이터에서 실제로 읽어낸 내용인가, 그럴듯하게 지어낸 말인가?  ③ 시각화 제안이 구체적인가('그래프' vs '월별 꺾은선 그래프')?  ④ 이대로 PPT를 만들 수 있을 만큼 친절한가?</t>
        </is>
      </c>
      <c r="B16" s="24" t="n"/>
      <c r="C16" s="24" t="n"/>
      <c r="D16" s="25" t="n"/>
    </row>
    <row r="17">
      <c r="A17" s="26" t="n"/>
      <c r="B17" s="27" t="n"/>
      <c r="C17" s="27" t="n"/>
      <c r="D17" s="28" t="n"/>
    </row>
  </sheetData>
  <mergeCells count="1">
    <mergeCell ref="A16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2026-08-02T04:40:32Z</dcterms:created>
  <dcterms:modified xsi:type="dcterms:W3CDTF">2026-08-02T04:40:32Z</dcterms:modified>
</cp:coreProperties>
</file>